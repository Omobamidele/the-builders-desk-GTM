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C-LTV 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<sst xmlns="http://schemas.openxmlformats.org/spreadsheetml/2006/main" count="14" uniqueCount="14">
  <si>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CAC / LTV Calculator — Week 6, Builder's Desk</t>
  </si>
  <si>
    <t xml:space="preserve">Fill in the yellow cells with your own numbers (real or estimated). Everything else calculates automatically.</t>
  </si>
  <si>
    <t xml:space="preserve">INPUTS</t>
  </si>
  <si>
    <t xml:space="preserve">Total Sales &amp; Marketing spend ($, period)</t>
  </si>
  <si>
    <t xml:space="preserve">New customers acquired (same period)</t>
  </si>
  <si>
    <t xml:space="preserve">Average monthly revenue per customer ($)</t>
  </si>
  <si>
    <t xml:space="preserve">Gross margin (%)</t>
  </si>
  <si>
    <t xml:space="preserve">Average customer lifetime (months)</t>
  </si>
  <si>
    <t xml:space="preserve">RESULTS</t>
  </si>
  <si>
    <t xml:space="preserve">CAC — Customer Acquisition Cost ($)</t>
  </si>
  <si>
    <t xml:space="preserve">LTV — Customer Lifetime Value ($)</t>
  </si>
  <si>
    <t xml:space="preserve">LTV : CAC Ratio</t>
  </si>
  <si>
    <t xml:space="preserve">Verdict</t>
  </si>
  <si>
    <t xml:space="preserve">Formulas: CAC = Total S&amp;M spend ÷ New customers. LTV = Monthly revenue × Gross margin × Average lifetime (months). A 3x LTV:CAC ratio is the widely-used SaaS benchmark for a healthy motion.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</si>
</sst>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$#,##0.00"/>
    <numFmt numFmtId="167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10"/>
      <color rgb="FF68635A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A9761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1B18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761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8635A"/>
      <rgbColor rgb="FF969696"/>
      <rgbColor rgb="FF003366"/>
      <rgbColor rgb="FF339966"/>
      <rgbColor rgb="FF003300"/>
      <rgbColor rgb="FF1C1B1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15000</v>
      </c>
    </row>
    <row r="6" customFormat="false" ht="15" hidden="false" customHeight="false" outlineLevel="0" collapsed="false">
      <c r="A6" s="4" t="s">
        <v>4</v>
      </c>
      <c r="B6" s="5" t="n">
        <v>30</v>
      </c>
    </row>
    <row r="7" customFormat="false" ht="15" hidden="false" customHeight="false" outlineLevel="0" collapsed="false">
      <c r="A7" s="4" t="s">
        <v>5</v>
      </c>
      <c r="B7" s="5" t="n">
        <v>150</v>
      </c>
    </row>
    <row r="8" customFormat="false" ht="15" hidden="false" customHeight="false" outlineLevel="0" collapsed="false">
      <c r="A8" s="4" t="s">
        <v>6</v>
      </c>
      <c r="B8" s="6" t="n">
        <v>0.75</v>
      </c>
    </row>
    <row r="9" customFormat="false" ht="15" hidden="false" customHeight="false" outlineLevel="0" collapsed="false">
      <c r="A9" s="4" t="s">
        <v>7</v>
      </c>
      <c r="B9" s="5" t="n">
        <v>18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  <c r="B12" s="7" t="n">
        <f aca="false">B5/B6</f>
        <v>500</v>
      </c>
    </row>
    <row r="13" customFormat="false" ht="15" hidden="false" customHeight="false" outlineLevel="0" collapsed="false">
      <c r="A13" s="4" t="s">
        <v>10</v>
      </c>
      <c r="B13" s="7" t="n">
        <f aca="false">B7*B8*B9</f>
        <v>2025</v>
      </c>
    </row>
    <row r="14" customFormat="false" ht="15" hidden="false" customHeight="false" outlineLevel="0" collapsed="false">
      <c r="A14" s="4" t="s">
        <v>11</v>
      </c>
      <c r="B14" s="8" t="n">
        <f aca="false">IFERROR(B13/B12,0)</f>
        <v>4.05</v>
      </c>
    </row>
    <row r="15" customFormat="false" ht="15" hidden="false" customHeight="false" outlineLevel="0" collapsed="false">
      <c r="A15" s="4" t="s">
        <v>12</v>
      </c>
      <c r="B15" s="9" t="str">
        <f aca="false">IF(B14&gt;=3,"Healthy (3x or better)",IF(B14&gt;=1,"Marginal — under 3x","Losing money on every customer"))</f>
        <v>Healthy (3x or better)</v>
      </c>
    </row>
    <row r="17" customFormat="false" ht="30" hidden="false" customHeight="true" outlineLevel="0" collapsed="false">
      <c r="A17" s="10" t="s">
        <v>13</v>
      </c>
      <c r="B17" s="10"/>
      <c r="C17" s="10"/>
    </row>
  </sheetData>
  <mergeCells count="3">
    <mergeCell ref="A1:C1"/>
    <mergeCell ref="A2:C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2026-09-03T10:50:32Z</dcterms:created>
  <dc:creator>openpyxl</dc:creator>
  <dc:description/>
  <dc:language>en-US</dc:language>
  <cp:lastModifiedBy/>
  <dcterms:modified xsi:type="dcterms:W3CDTF">2026-09-03T10:50:32Z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