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ation R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<sst xmlns="http://schemas.openxmlformats.org/spreadsheetml/2006/main" count="16" uniqueCount="16">
  <si>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Automation ROI Calculator — Week 7, Builder's Desk</t>
  </si>
  <si>
    <t xml:space="preserve">Fill in the yellow cells for one real thing you built. This gives you the one number to lead with in an interview or a budget conversation.</t>
  </si>
  <si>
    <t xml:space="preserve">INPUTS</t>
  </si>
  <si>
    <t xml:space="preserve">Hours this saves per week</t>
  </si>
  <si>
    <t xml:space="preserve">Fully-loaded hourly cost of that work ($)</t>
  </si>
  <si>
    <t xml:space="preserve">One-time cost to build it ($ — your time or contractor cost)</t>
  </si>
  <si>
    <t xml:space="preserve">Ongoing monthly maintenance cost ($)</t>
  </si>
  <si>
    <t xml:space="preserve">Months you're measuring (e.g. 6 for a 6-month view)</t>
  </si>
  <si>
    <t xml:space="preserve">RESULTS</t>
  </si>
  <si>
    <t xml:space="preserve">Weekly value generated ($)</t>
  </si>
  <si>
    <t xml:space="preserve">Total value over measured period ($)</t>
  </si>
  <si>
    <t xml:space="preserve">Total cost over measured period ($)</t>
  </si>
  <si>
    <t xml:space="preserve">ROI Multiple</t>
  </si>
  <si>
    <t xml:space="preserve">Payback period (weeks)</t>
  </si>
  <si>
    <t xml:space="preserve">Headcount-equivalent (this build = how many hires' worth of time)</t>
  </si>
  <si>
    <t xml:space="preserve">This is the same shape of math behind real published case studies (e.g. a documented 4.57x ROI on an automated outbound system). Your number won't be identical, but the formula is the same one used to justify GTM engineering budget in real companies.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</si>
</sst>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\x"/>
    <numFmt numFmtId="167" formatCode="0.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0"/>
      <color rgb="FF68635A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A9761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B18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761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8635A"/>
      <rgbColor rgb="FF969696"/>
      <rgbColor rgb="FF003366"/>
      <rgbColor rgb="FF339966"/>
      <rgbColor rgb="FF003300"/>
      <rgbColor rgb="FF1C1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</v>
      </c>
    </row>
    <row r="6" customFormat="false" ht="15" hidden="false" customHeight="false" outlineLevel="0" collapsed="false">
      <c r="A6" s="4" t="s">
        <v>4</v>
      </c>
      <c r="B6" s="5" t="n">
        <v>60</v>
      </c>
    </row>
    <row r="7" customFormat="false" ht="15" hidden="false" customHeight="false" outlineLevel="0" collapsed="false">
      <c r="A7" s="4" t="s">
        <v>5</v>
      </c>
      <c r="B7" s="5" t="n">
        <v>2000</v>
      </c>
    </row>
    <row r="8" customFormat="false" ht="15" hidden="false" customHeight="false" outlineLevel="0" collapsed="false">
      <c r="A8" s="4" t="s">
        <v>6</v>
      </c>
      <c r="B8" s="5" t="n">
        <v>100</v>
      </c>
    </row>
    <row r="9" customFormat="false" ht="15" hidden="false" customHeight="false" outlineLevel="0" collapsed="false">
      <c r="A9" s="4" t="s">
        <v>7</v>
      </c>
      <c r="B9" s="5" t="n">
        <v>6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6" t="n">
        <f aca="false">B5*B6</f>
        <v>300</v>
      </c>
    </row>
    <row r="13" customFormat="false" ht="15" hidden="false" customHeight="false" outlineLevel="0" collapsed="false">
      <c r="A13" s="4" t="s">
        <v>10</v>
      </c>
      <c r="B13" s="6" t="n">
        <f aca="false">B12*4.33*B9</f>
        <v>7794</v>
      </c>
    </row>
    <row r="14" customFormat="false" ht="15" hidden="false" customHeight="false" outlineLevel="0" collapsed="false">
      <c r="A14" s="4" t="s">
        <v>11</v>
      </c>
      <c r="B14" s="6" t="n">
        <f aca="false">B7+(B8*B9)</f>
        <v>2600</v>
      </c>
    </row>
    <row r="15" customFormat="false" ht="15" hidden="false" customHeight="false" outlineLevel="0" collapsed="false">
      <c r="A15" s="4" t="s">
        <v>12</v>
      </c>
      <c r="B15" s="7" t="n">
        <f aca="false">IFERROR(B13/B14,0)</f>
        <v>2.99769230769231</v>
      </c>
    </row>
    <row r="16" customFormat="false" ht="15" hidden="false" customHeight="false" outlineLevel="0" collapsed="false">
      <c r="A16" s="4" t="s">
        <v>13</v>
      </c>
      <c r="B16" s="8" t="n">
        <f aca="false">IFERROR(B7/B12,0)</f>
        <v>6.66666666666667</v>
      </c>
    </row>
    <row r="17" customFormat="false" ht="15" hidden="false" customHeight="false" outlineLevel="0" collapsed="false">
      <c r="A17" s="4" t="s">
        <v>14</v>
      </c>
      <c r="B17" s="9" t="n">
        <f aca="false">B5/40</f>
        <v>0.125</v>
      </c>
    </row>
    <row r="19" customFormat="false" ht="43.5" hidden="false" customHeight="true" outlineLevel="0" collapsed="false">
      <c r="A19" s="10" t="s">
        <v>15</v>
      </c>
      <c r="B19" s="10"/>
      <c r="C19" s="10"/>
    </row>
  </sheetData>
  <mergeCells count="3">
    <mergeCell ref="A1:C1"/>
    <mergeCell ref="A2:C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2026-09-17T05:06:48Z</dcterms:created>
  <dc:creator>openpyxl</dc:creator>
  <dc:description/>
  <dc:language>en-US</dc:language>
  <cp:lastModifiedBy/>
  <dcterms:modified xsi:type="dcterms:W3CDTF">2026-09-17T05:06:48Z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